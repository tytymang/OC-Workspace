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F:\01. 영업팀 업무\01. 제안작업\서울 반도체\2026\운영지원\"/>
    </mc:Choice>
  </mc:AlternateContent>
  <xr:revisionPtr revIDLastSave="0" documentId="13_ncr:1_{4A70D731-797D-4640-9E18-ACF21139CF3C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BOQ" sheetId="86" r:id="rId1"/>
  </sheet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B" localSheetId="0">#REF!</definedName>
    <definedName name="B">#REF!</definedName>
    <definedName name="BBBB" localSheetId="0">#REF!</definedName>
    <definedName name="BBBB">#REF!</definedName>
    <definedName name="BD." localSheetId="0">#REF!</definedName>
    <definedName name="BD.">#REF!</definedName>
    <definedName name="CFA" localSheetId="0">#REF!</definedName>
    <definedName name="CFA">#REF!</definedName>
    <definedName name="D" localSheetId="0" hidden="1">#REF!</definedName>
    <definedName name="D" hidden="1">#REF!</definedName>
    <definedName name="Dbr." localSheetId="0">#REF!</definedName>
    <definedName name="Dbr.">#REF!</definedName>
    <definedName name="dd" hidden="1">#REF!</definedName>
    <definedName name="DDDD" localSheetId="0">#REF!</definedName>
    <definedName name="DDDD">#REF!</definedName>
    <definedName name="dddddddd">#REF!-0.2</definedName>
    <definedName name="Dlg." localSheetId="0">#REF!</definedName>
    <definedName name="Dlg.">#REF!</definedName>
    <definedName name="Dme." localSheetId="0">#REF!</definedName>
    <definedName name="Dme.">#REF!</definedName>
    <definedName name="Dwc." localSheetId="0">#REF!</definedName>
    <definedName name="Dwc.">#REF!</definedName>
    <definedName name="FDFDS" localSheetId="0" hidden="1">#REF!</definedName>
    <definedName name="FDFDS" hidden="1">#REF!</definedName>
    <definedName name="ff" localSheetId="0" hidden="1">#REF!</definedName>
    <definedName name="ff" hidden="1">#REF!</definedName>
    <definedName name="FSDF" localSheetId="0" hidden="1">#REF!</definedName>
    <definedName name="FSDF" hidden="1">#REF!</definedName>
    <definedName name="hsp">1.5</definedName>
    <definedName name="ht." localSheetId="0">#REF!-0.2</definedName>
    <definedName name="ht.">#REF!-0.2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w.">3.3-0.15</definedName>
    <definedName name="MD." localSheetId="0">#REF!</definedName>
    <definedName name="MD.">#REF!</definedName>
    <definedName name="Opt" localSheetId="0">#REF!</definedName>
    <definedName name="Opt">#REF!</definedName>
    <definedName name="po" localSheetId="0" hidden="1">#REF!</definedName>
    <definedName name="po" hidden="1">#REF!</definedName>
    <definedName name="qq">#REF!</definedName>
    <definedName name="Ratio" localSheetId="0">#REF!</definedName>
    <definedName name="Ratio">#REF!</definedName>
    <definedName name="s" localSheetId="0" hidden="1">#REF!</definedName>
    <definedName name="s" hidden="1">#REF!</definedName>
    <definedName name="sdgfdhfgh" localSheetId="0">#REF!</definedName>
    <definedName name="sdgfdhfgh">#REF!</definedName>
    <definedName name="W." localSheetId="0">#REF!</definedName>
    <definedName name="W.">#REF!</definedName>
    <definedName name="W.B" localSheetId="0">#REF!</definedName>
    <definedName name="W.B">#REF!</definedName>
    <definedName name="W1." localSheetId="0">#REF!</definedName>
    <definedName name="W1.">#REF!</definedName>
    <definedName name="WD." localSheetId="0">#REF!</definedName>
    <definedName name="WD.">#REF!</definedName>
    <definedName name="wrn.chi._.tiÆt." hidden="1">{#N/A,#N/A,FALSE,"Chi tiÆt"}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86" l="1"/>
  <c r="G8" i="86" l="1"/>
  <c r="F8" i="86" l="1"/>
  <c r="F11" i="86"/>
  <c r="F7" i="86"/>
</calcChain>
</file>

<file path=xl/sharedStrings.xml><?xml version="1.0" encoding="utf-8"?>
<sst xmlns="http://schemas.openxmlformats.org/spreadsheetml/2006/main" count="19" uniqueCount="19">
  <si>
    <t xml:space="preserve">Diễn giải
Description
</t>
  </si>
  <si>
    <t xml:space="preserve">Đơn giá
Unit price
</t>
  </si>
  <si>
    <t xml:space="preserve">Số lượng
Q'tt
</t>
  </si>
  <si>
    <t>A</t>
  </si>
  <si>
    <t>SEOUL SEMICONDUCTOR VINA</t>
  </si>
  <si>
    <r>
      <rPr>
        <b/>
        <sz val="11"/>
        <color theme="1"/>
        <rFont val="맑은 고딕"/>
        <family val="2"/>
        <charset val="238"/>
        <scheme val="minor"/>
      </rPr>
      <t>Lưu ý</t>
    </r>
    <r>
      <rPr>
        <sz val="11"/>
        <color theme="1"/>
        <rFont val="맑은 고딕"/>
        <family val="2"/>
        <scheme val="minor"/>
      </rPr>
      <t>: Nhà thầu nghiên cứu kỹ lưỡng các tài liệu liên quan và các điều kiện của hồ sơ dự thầu và giá đệ trình dựa trên cơ sở Dự thầu.</t>
    </r>
  </si>
  <si>
    <t>B</t>
  </si>
  <si>
    <t>C</t>
  </si>
  <si>
    <t>Tổng cộng tiền - Total Amount</t>
  </si>
  <si>
    <t xml:space="preserve">Item/
No.
</t>
  </si>
  <si>
    <t>Part number
Số CSI/ SN</t>
  </si>
  <si>
    <t>1. Bên chào giá mở tờ khai 1 đầu cho phần I sẽ chịu thuế % theo luật định.  
2.  Bên chào giá phần I sẽ chịu thuế VAT, FCT % theo luật định.     
2. Điều kiện thanh toán: Chuyển khoản theo hợp đồng đã được ký kết trước đây, và nhận được đầy đủ hóa đơn chứng từ hợp lệ      
3. Thời gian hợp đồng: Trong 1 năm, từ 1/1/2026 đến ngày 31/12/2026 .</t>
  </si>
  <si>
    <t xml:space="preserve">Thời gian hợp đồng
Contract period
(months)
</t>
  </si>
  <si>
    <t>(Currency: USD)</t>
  </si>
  <si>
    <t>PFO Maintenance System Services for Vina</t>
  </si>
  <si>
    <t>PFO Maintenance System Service</t>
  </si>
  <si>
    <r>
      <t>SCM System Operation Support (off-site)
 1. CST Team (January – December 2026, 12 months)
 2. Kim (January – December 2026, 12 months</t>
    </r>
    <r>
      <rPr>
        <sz val="10.5"/>
        <color theme="1"/>
        <rFont val="맑은 고딕"/>
        <family val="1"/>
        <charset val="129"/>
      </rPr>
      <t>)</t>
    </r>
    <phoneticPr fontId="25" type="noConversion"/>
  </si>
  <si>
    <r>
      <t>Package S/W Maintenance (July – December 2026</t>
    </r>
    <r>
      <rPr>
        <sz val="10.5"/>
        <color theme="1"/>
        <rFont val="맑은 고딕"/>
        <family val="1"/>
        <charset val="129"/>
      </rPr>
      <t>)</t>
    </r>
    <r>
      <rPr>
        <sz val="10.5"/>
        <color theme="1"/>
        <rFont val="Times New Roman"/>
        <family val="1"/>
      </rPr>
      <t xml:space="preserve">
1. T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MP
2. T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Times New Roman"/>
        <family val="1"/>
      </rPr>
      <t>MRP</t>
    </r>
    <phoneticPr fontId="25" type="noConversion"/>
  </si>
  <si>
    <t>Thành tiền 
Value
(Inclued VAT, FCT)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</si>
</sst>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.5"/>
      <color theme="1"/>
      <name val="Times New Roman"/>
      <family val="1"/>
      <charset val="163"/>
    </font>
    <font>
      <sz val="11.5"/>
      <color theme="1"/>
      <name val="Times New Roman"/>
      <family val="1"/>
      <charset val="163"/>
    </font>
    <font>
      <b/>
      <sz val="10.5"/>
      <color rgb="FFFF0000"/>
      <name val="Times New Roman"/>
      <family val="1"/>
      <charset val="163"/>
    </font>
    <font>
      <sz val="10"/>
      <color theme="1"/>
      <name val="Arial"/>
      <family val="2"/>
    </font>
    <font>
      <sz val="10"/>
      <name val="Arial"/>
      <family val="2"/>
    </font>
    <font>
      <u/>
      <sz val="11"/>
      <color theme="11"/>
      <name val="맑은 고딕"/>
      <family val="2"/>
      <scheme val="minor"/>
    </font>
    <font>
      <b/>
      <sz val="10"/>
      <color theme="0"/>
      <name val="Times New Roman"/>
      <family val="1"/>
      <charset val="163"/>
    </font>
    <font>
      <sz val="12"/>
      <name val=".VnTime"/>
      <family val="2"/>
    </font>
    <font>
      <u/>
      <sz val="10"/>
      <color indexed="12"/>
      <name val="Arial"/>
      <family val="2"/>
    </font>
    <font>
      <b/>
      <sz val="10.5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sz val="11"/>
      <color rgb="FF006100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16"/>
      <color rgb="FF00B050"/>
      <name val="맑은 고딕"/>
      <family val="2"/>
      <charset val="238"/>
      <scheme val="minor"/>
    </font>
    <font>
      <b/>
      <sz val="11"/>
      <color theme="1"/>
      <name val="맑은 고딕"/>
      <family val="2"/>
      <charset val="238"/>
      <scheme val="minor"/>
    </font>
    <font>
      <b/>
      <sz val="16"/>
      <color rgb="FFFF0000"/>
      <name val="맑은 고딕"/>
      <family val="2"/>
      <charset val="238"/>
      <scheme val="minor"/>
    </font>
    <font>
      <b/>
      <sz val="16"/>
      <color theme="1"/>
      <name val="맑은 고딕"/>
      <family val="2"/>
      <charset val="238"/>
      <scheme val="minor"/>
    </font>
    <font>
      <sz val="16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8"/>
      <name val="맑은 고딕"/>
      <family val="3"/>
      <charset val="129"/>
      <scheme val="minor"/>
    </font>
    <font>
      <vertAlign val="superscript"/>
      <sz val="10.5"/>
      <color theme="1"/>
      <name val="Times New Roman"/>
      <family val="1"/>
    </font>
    <font>
      <sz val="10.5"/>
      <color theme="1"/>
      <name val="맑은 고딕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">
    <xf numFmtId="0" fontId="0" fillId="0" borderId="0"/>
    <xf numFmtId="0" fontId="5" fillId="0" borderId="0"/>
    <xf numFmtId="176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9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" fillId="0" borderId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7" fillId="7" borderId="0" applyNumberFormat="0" applyBorder="0" applyAlignment="0" applyProtection="0"/>
  </cellStyleXfs>
  <cellXfs count="28">
    <xf numFmtId="0" fontId="0" fillId="0" borderId="0" xfId="0"/>
    <xf numFmtId="0" fontId="1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2" fontId="11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0" fontId="15" fillId="6" borderId="1" xfId="18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/>
    </xf>
    <xf numFmtId="2" fontId="20" fillId="9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22" fillId="5" borderId="1" xfId="17" applyFont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7" fontId="17" fillId="7" borderId="6" xfId="19" applyNumberFormat="1" applyBorder="1" applyAlignment="1">
      <alignment horizontal="center" vertical="center"/>
    </xf>
    <xf numFmtId="177" fontId="17" fillId="7" borderId="5" xfId="19" applyNumberFormat="1" applyBorder="1" applyAlignment="1">
      <alignment horizontal="center" vertical="center"/>
    </xf>
    <xf numFmtId="177" fontId="17" fillId="7" borderId="7" xfId="19" applyNumberFormat="1" applyBorder="1" applyAlignment="1">
      <alignment horizontal="center" vertical="center"/>
    </xf>
    <xf numFmtId="177" fontId="17" fillId="7" borderId="2" xfId="19" applyNumberFormat="1" applyBorder="1" applyAlignment="1">
      <alignment horizontal="center" vertical="center"/>
    </xf>
  </cellXfs>
  <cellStyles count="20">
    <cellStyle name="0,0_x000a__x000a_NA_x000a__x000a_" xfId="13" xr:uid="{00000000-0005-0000-0000-000000000000}"/>
    <cellStyle name="0,0_x000d__x000a_NA_x000d__x000a_" xfId="12" xr:uid="{00000000-0005-0000-0000-000001000000}"/>
    <cellStyle name="Comma 2" xfId="2" xr:uid="{00000000-0005-0000-0000-000003000000}"/>
    <cellStyle name="Hyperlink 3 2" xfId="14" xr:uid="{00000000-0005-0000-0000-00000C000000}"/>
    <cellStyle name="Ledger 17 x 11 in" xfId="5" xr:uid="{00000000-0005-0000-0000-00000D000000}"/>
    <cellStyle name="Normal 2" xfId="1" xr:uid="{00000000-0005-0000-0000-000010000000}"/>
    <cellStyle name="Normal 2 2" xfId="16" xr:uid="{00000000-0005-0000-0000-000011000000}"/>
    <cellStyle name="Normal 3" xfId="3" xr:uid="{00000000-0005-0000-0000-000012000000}"/>
    <cellStyle name="Normal 4" xfId="15" xr:uid="{00000000-0005-0000-0000-000013000000}"/>
    <cellStyle name="강조색6" xfId="19" builtinId="49"/>
    <cellStyle name="보통" xfId="18" builtinId="28"/>
    <cellStyle name="열어 본 하이퍼링크" xfId="11" builtinId="9" hidden="1"/>
    <cellStyle name="열어 본 하이퍼링크" xfId="8" builtinId="9" hidden="1"/>
    <cellStyle name="열어 본 하이퍼링크" xfId="9" builtinId="9" hidden="1"/>
    <cellStyle name="열어 본 하이퍼링크" xfId="10" builtinId="9" hidden="1"/>
    <cellStyle name="열어 본 하이퍼링크" xfId="6" builtinId="9" hidden="1"/>
    <cellStyle name="열어 본 하이퍼링크" xfId="7" builtinId="9" hidden="1"/>
    <cellStyle name="열어 본 하이퍼링크" xfId="4" builtinId="9" hidden="1"/>
    <cellStyle name="좋음" xfId="17" builtinId="26"/>
    <cellStyle name="표준" xfId="0" builtinId="0"/>
  </cellStyles>
  <dxfs count="0"/>
  <tableStyles count="0" defaultTableStyle="TableStyleMedium9" defaultPivotStyle="PivotStyleLight16"/>
  <colors>
    <mruColors>
      <color rgb="FF0066FF"/>
      <color rgb="FF99CCFF"/>
      <color rgb="FFF8F8F8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10</xdr:row>
      <xdr:rowOff>0</xdr:rowOff>
    </xdr:from>
    <xdr:to>
      <xdr:col>3</xdr:col>
      <xdr:colOff>668655</xdr:colOff>
      <xdr:row>10</xdr:row>
      <xdr:rowOff>306069</xdr:rowOff>
    </xdr:to>
    <xdr:sp macro="" textlink="">
      <xdr:nvSpPr>
        <xdr:cNvPr id="2" name="AutoShape 2" descr="https://lh3.googleusercontent.com/fdiFHXH1uqvSOf9wGA_dugb5AILFZwq341QYxrqjk8H68S0GVB86yBmMdbNN_CFm9BiTJbJcjM3mvETWASY=w500-rw">
          <a:extLst>
            <a:ext uri="{FF2B5EF4-FFF2-40B4-BE49-F238E27FC236}">
              <a16:creationId xmlns:a16="http://schemas.microsoft.com/office/drawing/2014/main" id="{0CBF7625-4FE1-47F7-A095-7FB89864EAEB}"/>
            </a:ext>
          </a:extLst>
        </xdr:cNvPr>
        <xdr:cNvSpPr>
          <a:spLocks noChangeAspect="1" noChangeArrowheads="1"/>
        </xdr:cNvSpPr>
      </xdr:nvSpPr>
      <xdr:spPr bwMode="auto">
        <a:xfrm>
          <a:off x="4265295" y="5543550"/>
          <a:ext cx="299085" cy="306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BD01-B9E3-414F-93EF-8A55122E8B80}">
  <dimension ref="A1:H12"/>
  <sheetViews>
    <sheetView tabSelected="1" view="pageBreakPreview" topLeftCell="B1" zoomScale="85" zoomScaleNormal="115" zoomScaleSheetLayoutView="85" workbookViewId="0">
      <selection activeCell="B4" sqref="B4:H4"/>
    </sheetView>
  </sheetViews>
  <sheetFormatPr defaultRowHeight="17.399999999999999"/>
  <cols>
    <col min="1" max="1" width="13" customWidth="1"/>
    <col min="2" max="2" width="10" customWidth="1"/>
    <col min="3" max="3" width="28.09765625" customWidth="1"/>
    <col min="4" max="4" width="45.296875" customWidth="1"/>
    <col min="5" max="5" width="9.3984375" bestFit="1" customWidth="1"/>
    <col min="6" max="6" width="11.69921875" bestFit="1" customWidth="1"/>
    <col min="7" max="7" width="17.09765625" customWidth="1"/>
    <col min="8" max="8" width="16.59765625" bestFit="1" customWidth="1"/>
  </cols>
  <sheetData>
    <row r="1" spans="1:8" ht="25.2">
      <c r="A1" s="9" t="s">
        <v>3</v>
      </c>
      <c r="B1" s="10" t="s">
        <v>4</v>
      </c>
      <c r="C1" s="10"/>
      <c r="D1" s="10"/>
      <c r="E1" s="10"/>
      <c r="F1" s="10"/>
      <c r="G1" s="10"/>
      <c r="H1" s="10"/>
    </row>
    <row r="2" spans="1:8" ht="25.2">
      <c r="A2" s="9"/>
      <c r="B2" s="11" t="s">
        <v>14</v>
      </c>
      <c r="C2" s="11"/>
      <c r="D2" s="11"/>
      <c r="E2" s="11"/>
      <c r="F2" s="11"/>
      <c r="G2" s="11"/>
      <c r="H2" s="11"/>
    </row>
    <row r="3" spans="1:8" ht="21" customHeight="1">
      <c r="A3" s="9"/>
      <c r="B3" s="12" t="s">
        <v>5</v>
      </c>
      <c r="C3" s="12"/>
      <c r="D3" s="12"/>
      <c r="E3" s="12"/>
      <c r="F3" s="12"/>
      <c r="G3" s="12"/>
      <c r="H3" s="12"/>
    </row>
    <row r="4" spans="1:8" ht="67.5" customHeight="1">
      <c r="A4" s="9"/>
      <c r="B4" s="13" t="s">
        <v>11</v>
      </c>
      <c r="C4" s="13"/>
      <c r="D4" s="13"/>
      <c r="E4" s="13"/>
      <c r="F4" s="13"/>
      <c r="G4" s="13"/>
      <c r="H4" s="13"/>
    </row>
    <row r="5" spans="1:8" ht="14.4" customHeight="1">
      <c r="A5" s="8" t="s">
        <v>13</v>
      </c>
      <c r="B5" s="8"/>
      <c r="C5" s="8"/>
      <c r="D5" s="8"/>
      <c r="E5" s="8"/>
      <c r="F5" s="8"/>
      <c r="G5" s="8"/>
      <c r="H5" s="8"/>
    </row>
    <row r="6" spans="1:8" ht="60.75" customHeight="1">
      <c r="A6" s="14" t="s">
        <v>6</v>
      </c>
      <c r="B6" s="2" t="s">
        <v>9</v>
      </c>
      <c r="C6" s="2" t="s">
        <v>10</v>
      </c>
      <c r="D6" s="2" t="s">
        <v>0</v>
      </c>
      <c r="E6" s="2" t="s">
        <v>2</v>
      </c>
      <c r="F6" s="1" t="s">
        <v>1</v>
      </c>
      <c r="G6" s="2" t="s">
        <v>18</v>
      </c>
      <c r="H6" s="1" t="s">
        <v>12</v>
      </c>
    </row>
    <row r="7" spans="1:8" ht="55.5" customHeight="1">
      <c r="A7" s="14"/>
      <c r="B7" s="4">
        <v>1</v>
      </c>
      <c r="C7" s="15" t="s">
        <v>15</v>
      </c>
      <c r="D7" s="3" t="s">
        <v>16</v>
      </c>
      <c r="E7" s="5">
        <v>18</v>
      </c>
      <c r="F7" s="6">
        <f>G7/E7</f>
        <v>6235.827664399093</v>
      </c>
      <c r="G7" s="7">
        <f>(150000000/1470)+(150000000/1470*0.1)</f>
        <v>112244.89795918367</v>
      </c>
      <c r="H7" s="3">
        <v>12</v>
      </c>
    </row>
    <row r="8" spans="1:8" ht="55.5" customHeight="1">
      <c r="A8" s="14"/>
      <c r="B8" s="4">
        <v>2</v>
      </c>
      <c r="C8" s="16"/>
      <c r="D8" s="3" t="s">
        <v>17</v>
      </c>
      <c r="E8" s="5">
        <v>2</v>
      </c>
      <c r="F8" s="6">
        <f>G8/2</f>
        <v>5612.2448979591845</v>
      </c>
      <c r="G8" s="7">
        <f>(15000000/1470)+(15000000/1470*0.1)</f>
        <v>11224.489795918369</v>
      </c>
      <c r="H8" s="3">
        <v>6</v>
      </c>
    </row>
    <row r="9" spans="1:8" ht="55.5" customHeight="1">
      <c r="A9" s="14"/>
      <c r="B9" s="4">
        <v>3</v>
      </c>
      <c r="C9" s="16"/>
      <c r="D9" s="3"/>
      <c r="E9" s="5"/>
      <c r="F9" s="6"/>
      <c r="G9" s="7"/>
      <c r="H9" s="3"/>
    </row>
    <row r="10" spans="1:8" ht="55.5" customHeight="1">
      <c r="A10" s="14"/>
      <c r="B10" s="4">
        <v>4</v>
      </c>
      <c r="C10" s="17"/>
      <c r="D10" s="3"/>
      <c r="E10" s="5"/>
      <c r="F10" s="6"/>
      <c r="G10" s="7"/>
      <c r="H10" s="3"/>
    </row>
    <row r="11" spans="1:8" ht="39.75" customHeight="1">
      <c r="A11" s="18" t="s">
        <v>7</v>
      </c>
      <c r="B11" s="20" t="s">
        <v>8</v>
      </c>
      <c r="C11" s="20"/>
      <c r="D11" s="20"/>
      <c r="E11" s="21"/>
      <c r="F11" s="24">
        <f>SUM(G7:G10)</f>
        <v>123469.38775510204</v>
      </c>
      <c r="G11" s="25"/>
      <c r="H11" s="25"/>
    </row>
    <row r="12" spans="1:8" ht="12.75" customHeight="1">
      <c r="A12" s="19"/>
      <c r="B12" s="22"/>
      <c r="C12" s="22"/>
      <c r="D12" s="22"/>
      <c r="E12" s="23"/>
      <c r="F12" s="26"/>
      <c r="G12" s="27"/>
      <c r="H12" s="27"/>
    </row>
  </sheetData>
  <mergeCells count="11">
    <mergeCell ref="A6:A10"/>
    <mergeCell ref="C7:C10"/>
    <mergeCell ref="A11:A12"/>
    <mergeCell ref="B11:E12"/>
    <mergeCell ref="F11:H12"/>
    <mergeCell ref="A5:H5"/>
    <mergeCell ref="A1:A4"/>
    <mergeCell ref="B1:H1"/>
    <mergeCell ref="B2:H2"/>
    <mergeCell ref="B3:H3"/>
    <mergeCell ref="B4:H4"/>
  </mergeCells>
  <phoneticPr fontId="25" type="noConversion"/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KHUYEN</dc:creator>
  <cp:lastModifiedBy>하늘영웅</cp:lastModifiedBy>
  <cp:lastPrinted>2021-05-20T09:37:44Z</cp:lastPrinted>
  <dcterms:created xsi:type="dcterms:W3CDTF">2013-06-24T07:46:07Z</dcterms:created>
  <dcterms:modified xsi:type="dcterms:W3CDTF">2026-02-19T08:16:57Z</dcterms:modified>
</cp:coreProperties>
</file>